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ar\GSIT_Master\Assignment1\"/>
    </mc:Choice>
  </mc:AlternateContent>
  <xr:revisionPtr revIDLastSave="0" documentId="8_{AD3BDF18-C49F-49CC-84C8-104BB2FCF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Tracker" sheetId="1" r:id="rId1"/>
    <sheet name="Black box techniques" sheetId="11" r:id="rId2"/>
    <sheet name="Decision Table" sheetId="13" r:id="rId3"/>
    <sheet name="White box Techniques" sheetId="12" r:id="rId4"/>
  </sheets>
  <externalReferences>
    <externalReference r:id="rId5"/>
  </externalReferences>
  <definedNames>
    <definedName name="_xlnm._FilterDatabase" localSheetId="0" hidden="1">DefectTracker!$B$18:$V$33</definedName>
    <definedName name="CATEGORY">'[1]RISK MITIGATION REPORT EXAMPLE'!#REF!</definedName>
    <definedName name="COMMENTS">'[1]RISK MITIGATION REPORT EXAMPLE'!#REF!</definedName>
    <definedName name="DATE">#REF!</definedName>
    <definedName name="DATE_OF_DECISION">'[1]RISK MITIGATION REPORT EXAMPLE'!#REF!</definedName>
    <definedName name="DECISION">'[1]RISK MITIGATION REPORT EXAMPLE'!#REF!</definedName>
    <definedName name="DECISION_ID">'[1]RISK MITIGATION REPORT EXAMPLE'!#REF!</definedName>
    <definedName name="Full_Project_Name">#REF!</definedName>
    <definedName name="ID">'[1]RISK MITIGATION REPORT EXAMPLE'!#REF!</definedName>
    <definedName name="_xlnm.Print_Titles" localSheetId="0">DefectTracker!$18:$18</definedName>
    <definedName name="Project_Manager">#REF!</definedName>
    <definedName name="Project_No">#REF!</definedName>
    <definedName name="PROJECT_SPONSOR">#REF!</definedName>
    <definedName name="RESPONSIBLE_PARTY">'[1]RISK MITIGATION REPORT EXAMPLE'!#REF!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G15" i="1"/>
  <c r="C15" i="1"/>
  <c r="H14" i="1"/>
  <c r="G14" i="1"/>
  <c r="C14" i="1"/>
  <c r="H12" i="1"/>
  <c r="G12" i="1"/>
  <c r="C12" i="1"/>
  <c r="H11" i="1"/>
  <c r="G11" i="1"/>
  <c r="C11" i="1"/>
  <c r="H10" i="1"/>
  <c r="G10" i="1"/>
</calcChain>
</file>

<file path=xl/sharedStrings.xml><?xml version="1.0" encoding="utf-8"?>
<sst xmlns="http://schemas.openxmlformats.org/spreadsheetml/2006/main" count="135" uniqueCount="100">
  <si>
    <t xml:space="preserve">DEFECT / ISSUE TRACKER </t>
  </si>
  <si>
    <t>User Impact</t>
  </si>
  <si>
    <t>Business impact</t>
  </si>
  <si>
    <t>Status</t>
  </si>
  <si>
    <t>Count</t>
  </si>
  <si>
    <t>1-Critical</t>
  </si>
  <si>
    <t>1-New</t>
  </si>
  <si>
    <t>2-High</t>
  </si>
  <si>
    <t>2-Open</t>
  </si>
  <si>
    <t>3-Medium</t>
  </si>
  <si>
    <t>3-Closed</t>
  </si>
  <si>
    <t>4-Fixed</t>
  </si>
  <si>
    <t>4-Low</t>
  </si>
  <si>
    <t>TOTALS</t>
  </si>
  <si>
    <t>Defect ID</t>
  </si>
  <si>
    <t>Detected Date</t>
  </si>
  <si>
    <t>Updated Date</t>
  </si>
  <si>
    <t xml:space="preserve"> Req Id</t>
  </si>
  <si>
    <t>Severity</t>
  </si>
  <si>
    <t>Priority</t>
  </si>
  <si>
    <t>Title</t>
  </si>
  <si>
    <t>Module</t>
  </si>
  <si>
    <t>Version</t>
  </si>
  <si>
    <t>Build</t>
  </si>
  <si>
    <t>Duplicate ID</t>
  </si>
  <si>
    <t>Reported by</t>
  </si>
  <si>
    <t>Steps to reproduce</t>
  </si>
  <si>
    <t>Screenshot</t>
  </si>
  <si>
    <t>Expected Result</t>
  </si>
  <si>
    <t>Actual Result</t>
  </si>
  <si>
    <t>Environment</t>
  </si>
  <si>
    <t>Customer facing update</t>
  </si>
  <si>
    <t>Internal Update</t>
  </si>
  <si>
    <t>Assigned to</t>
  </si>
  <si>
    <t>User can applies coupon on items worth ₹499 to get the discount.</t>
  </si>
  <si>
    <t>Add to cart Module</t>
  </si>
  <si>
    <t xml:space="preserve">1. User is on home page
2. User Search restaurants
3.Add food items to the cart worth 499
4.Apply coupons SAVE50 
5. Cart value decreases to 449.
</t>
  </si>
  <si>
    <t>Coupon should not get applied on items Worth499.</t>
  </si>
  <si>
    <t>Coupon Save 50 discount still gets applied to the items worth 499.</t>
  </si>
  <si>
    <t>QA</t>
  </si>
  <si>
    <t xml:space="preserve">User can still Access the Dashboard Page by clicking browser back button even after Logging out the session </t>
  </si>
  <si>
    <t>Logout Module</t>
  </si>
  <si>
    <t xml:space="preserve">1. User is on Logout Page
2. User clicks on Logout Option
3. User clicks on Browser back Navigation 
4. User can access the Order History
</t>
  </si>
  <si>
    <t>User should not access the Order History even the Logout is successfull</t>
  </si>
  <si>
    <t>User still access the Order History after Logout and clicking the Browser back Navigation.</t>
  </si>
  <si>
    <t>Engineer</t>
  </si>
  <si>
    <t>PM &amp; Engineer for LOE</t>
  </si>
  <si>
    <t>Test Case ID</t>
  </si>
  <si>
    <t>Scenario</t>
  </si>
  <si>
    <t>Input</t>
  </si>
  <si>
    <t>TC_001</t>
  </si>
  <si>
    <t>Login with valid Email</t>
  </si>
  <si>
    <t>UserName:User123@gmail.com
Password: TestUser@987</t>
  </si>
  <si>
    <t>Valid: Login Successfull</t>
  </si>
  <si>
    <t>TC_002</t>
  </si>
  <si>
    <t>User Name Without @</t>
  </si>
  <si>
    <t>UserName:User123gmail.com
Password: TestUser@987</t>
  </si>
  <si>
    <t>Invalid: User Name must contain @</t>
  </si>
  <si>
    <t>TC_003</t>
  </si>
  <si>
    <t>User Name Without domain</t>
  </si>
  <si>
    <t>UserName:User123@
Password: TestUser@987</t>
  </si>
  <si>
    <t>Invalid: User Name must contain domain</t>
  </si>
  <si>
    <t>TC_004</t>
  </si>
  <si>
    <t>Password with 7 Characters</t>
  </si>
  <si>
    <t>UserName:User123@gmail.com
Password: Te@987</t>
  </si>
  <si>
    <t>Invalid: Password must contain 8 characterstics</t>
  </si>
  <si>
    <t>TC_005</t>
  </si>
  <si>
    <t>Login with correct Password</t>
  </si>
  <si>
    <t>TC_006</t>
  </si>
  <si>
    <t>Password without Uppercase</t>
  </si>
  <si>
    <t>UserName:User123@gmail.com
Password: testuser@987</t>
  </si>
  <si>
    <t>Invalid: Password must contain Uppercase letter</t>
  </si>
  <si>
    <t>TC_007</t>
  </si>
  <si>
    <t>Password without Number</t>
  </si>
  <si>
    <t>UserName:User123@gmail.com
Password: TestUser@</t>
  </si>
  <si>
    <t>Invalid : Password must contain Number</t>
  </si>
  <si>
    <t>TC_008</t>
  </si>
  <si>
    <t>Login with Invalid Email and password</t>
  </si>
  <si>
    <t>UserName:User3@gmail.com
Password: TestUr@56</t>
  </si>
  <si>
    <t>Invalid: UserName and Password are Invalid</t>
  </si>
  <si>
    <t>TC_ID</t>
  </si>
  <si>
    <t>Order Amount&gt;500</t>
  </si>
  <si>
    <t>User type = Premium</t>
  </si>
  <si>
    <t>Discount</t>
  </si>
  <si>
    <t>yes</t>
  </si>
  <si>
    <t>no</t>
  </si>
  <si>
    <t>No</t>
  </si>
  <si>
    <t>Yes</t>
  </si>
  <si>
    <t>Order Amount</t>
  </si>
  <si>
    <t>User Type</t>
  </si>
  <si>
    <t>Test Case Scenario Covered</t>
  </si>
  <si>
    <t xml:space="preserve"> Discount</t>
  </si>
  <si>
    <t>Premium</t>
  </si>
  <si>
    <t>&gt;500</t>
  </si>
  <si>
    <t>Pass</t>
  </si>
  <si>
    <t>Non-Premium</t>
  </si>
  <si>
    <t>&lt;500</t>
  </si>
  <si>
    <t>Non- Premium</t>
  </si>
  <si>
    <t>QA - Malar</t>
  </si>
  <si>
    <t>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</si>
</sst>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rgb="FF000000"/>
      <name val="Calibri"/>
    </font>
    <font>
      <b/>
      <sz val="24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u/>
      <sz val="14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1F497D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</font>
    <font>
      <b/>
      <sz val="18"/>
      <color theme="3"/>
      <name val="Cambria"/>
      <charset val="134"/>
      <scheme val="maj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0" borderId="1" xfId="0" applyBorder="1"/>
    <xf numFmtId="0" fontId="6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0" fillId="0" borderId="7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9" fontId="0" fillId="0" borderId="1" xfId="0" applyNumberFormat="1" applyBorder="1"/>
    <xf numFmtId="0" fontId="10" fillId="0" borderId="1" xfId="0" applyFont="1" applyBorder="1"/>
    <xf numFmtId="0" fontId="1" fillId="2" borderId="13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left" vertical="top"/>
    </xf>
  </cellXfs>
  <cellStyles count="3">
    <cellStyle name="Hyperlink 2" xfId="1" xr:uid="{00000000-0005-0000-0000-000031000000}"/>
    <cellStyle name="Normal" xfId="0" builtinId="0"/>
    <cellStyle name="Title 2" xfId="2" xr:uid="{00000000-0005-0000-0000-000032000000}"/>
  </cellStyles>
  <dxfs count="4"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risk-data-sheet-template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8</xdr:col>
      <xdr:colOff>1142434</xdr:colOff>
      <xdr:row>4</xdr:row>
      <xdr:rowOff>161925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0820" y="95250"/>
          <a:ext cx="6783705" cy="803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orp/Dropbox/Unnamed%20Site%203/public_html/project-templates/risk-mitigation-report.xlsx" TargetMode="External"/><Relationship Id="rId1" Type="http://schemas.openxmlformats.org/officeDocument/2006/relationships/externalLinkPath" Target="/Users/tmorp/Dropbox/Unnamed%20Site%203/public_html/project-templates/risk-mitigation-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ECT DETAILS"/>
      <sheetName val="RISK MITIGATION REPORT COLOR"/>
      <sheetName val="RISK MITIGATION REPORT EXAMPLE"/>
      <sheetName val="RISK MITIGATION REPORT PLAIN"/>
      <sheetName val="RESOURCES"/>
    </sheetNames>
    <sheetDataSet>
      <sheetData sheetId="0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7:W101"/>
  <sheetViews>
    <sheetView showGridLines="0" tabSelected="1" topLeftCell="A12" zoomScale="76" zoomScaleNormal="76" workbookViewId="0">
      <selection activeCell="V20" sqref="V20"/>
    </sheetView>
  </sheetViews>
  <sheetFormatPr defaultColWidth="9" defaultRowHeight="14.4"/>
  <cols>
    <col min="1" max="1" width="2.33203125" customWidth="1"/>
    <col min="2" max="2" width="11.5546875" customWidth="1"/>
    <col min="3" max="4" width="12.33203125" customWidth="1"/>
    <col min="5" max="5" width="10.109375" customWidth="1"/>
    <col min="6" max="6" width="10.88671875" customWidth="1"/>
    <col min="7" max="8" width="12.109375" customWidth="1"/>
    <col min="9" max="9" width="25" customWidth="1"/>
    <col min="10" max="13" width="21" customWidth="1"/>
    <col min="14" max="14" width="14.44140625" customWidth="1"/>
    <col min="15" max="16" width="54.6640625" customWidth="1"/>
    <col min="17" max="18" width="22.21875" customWidth="1"/>
    <col min="19" max="19" width="15.33203125" customWidth="1"/>
    <col min="20" max="20" width="34.5546875" customWidth="1"/>
    <col min="21" max="21" width="65.44140625" customWidth="1"/>
    <col min="22" max="22" width="11.88671875" customWidth="1"/>
    <col min="23" max="23" width="17" customWidth="1"/>
  </cols>
  <sheetData>
    <row r="7" spans="2:23" ht="37.5" customHeight="1">
      <c r="C7" s="5" t="s">
        <v>0</v>
      </c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9"/>
    </row>
    <row r="8" spans="2:23" ht="15" customHeight="1">
      <c r="W8" s="29"/>
    </row>
    <row r="9" spans="2:23" s="4" customFormat="1" ht="39" customHeight="1">
      <c r="B9" s="7"/>
      <c r="C9" s="7"/>
      <c r="D9" s="7"/>
      <c r="E9" s="7"/>
      <c r="F9" s="8"/>
      <c r="G9" s="9" t="s">
        <v>1</v>
      </c>
      <c r="H9" s="10" t="s">
        <v>2</v>
      </c>
      <c r="I9" s="7"/>
      <c r="J9" s="7"/>
      <c r="K9" s="7"/>
      <c r="L9" s="7"/>
      <c r="M9" s="7"/>
      <c r="N9" s="7"/>
      <c r="O9" s="36"/>
      <c r="P9" s="36"/>
      <c r="Q9" s="36"/>
      <c r="R9" s="36"/>
      <c r="S9" s="14"/>
      <c r="T9" s="14"/>
      <c r="U9" s="39"/>
      <c r="V9" s="14"/>
    </row>
    <row r="10" spans="2:23" s="4" customFormat="1" ht="21.75" customHeight="1">
      <c r="B10" s="11" t="s">
        <v>3</v>
      </c>
      <c r="C10" s="12" t="s">
        <v>4</v>
      </c>
      <c r="D10" s="13"/>
      <c r="E10" s="14"/>
      <c r="F10" s="15" t="s">
        <v>5</v>
      </c>
      <c r="G10" s="16">
        <f>COUNTIFS(G$19:G$33,F10)</f>
        <v>0</v>
      </c>
      <c r="H10" s="17">
        <f>COUNTIFS(H$19:H$33,F10)</f>
        <v>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"/>
      <c r="V10" s="14"/>
    </row>
    <row r="11" spans="2:23" s="4" customFormat="1" ht="17.25" customHeight="1">
      <c r="B11" s="15" t="s">
        <v>6</v>
      </c>
      <c r="C11" s="18">
        <f>COUNTIFS(F19:F33,B11)</f>
        <v>0</v>
      </c>
      <c r="D11" s="19"/>
      <c r="E11" s="14"/>
      <c r="F11" s="44" t="s">
        <v>7</v>
      </c>
      <c r="G11" s="20">
        <f>COUNTIFS(G$19:G33,F11)</f>
        <v>2</v>
      </c>
      <c r="H11" s="21">
        <f>COUNTIFS(H$19:H33,F11)</f>
        <v>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39"/>
      <c r="V11" s="14"/>
    </row>
    <row r="12" spans="2:23" s="4" customFormat="1" ht="17.25" customHeight="1">
      <c r="B12" s="44" t="s">
        <v>8</v>
      </c>
      <c r="C12" s="18">
        <f>COUNTIFS(F19:F33,B12)</f>
        <v>2</v>
      </c>
      <c r="D12" s="19"/>
      <c r="E12" s="14"/>
      <c r="F12" s="44" t="s">
        <v>9</v>
      </c>
      <c r="G12" s="22">
        <f>COUNTIFS(G$19:G33,F12)</f>
        <v>0</v>
      </c>
      <c r="H12" s="23">
        <f>COUNTIFS(H$19:H33,F12)</f>
        <v>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39"/>
      <c r="V12" s="14"/>
    </row>
    <row r="13" spans="2:23" s="4" customFormat="1" ht="17.25" customHeight="1">
      <c r="B13" s="44" t="s">
        <v>10</v>
      </c>
      <c r="C13" s="18">
        <v>0</v>
      </c>
      <c r="D13" s="19"/>
      <c r="E13" s="14"/>
      <c r="F13" s="15"/>
      <c r="G13" s="22"/>
      <c r="H13" s="2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39"/>
      <c r="V13" s="14"/>
    </row>
    <row r="14" spans="2:23" s="4" customFormat="1" ht="17.25" customHeight="1">
      <c r="B14" s="44" t="s">
        <v>11</v>
      </c>
      <c r="C14" s="18">
        <f>COUNTIFS(F19:F33,B14)</f>
        <v>0</v>
      </c>
      <c r="D14" s="19"/>
      <c r="E14" s="14"/>
      <c r="F14" s="44" t="s">
        <v>12</v>
      </c>
      <c r="G14" s="24">
        <f>COUNTIFS(G$19:G33,F14)</f>
        <v>0</v>
      </c>
      <c r="H14" s="25">
        <f>COUNTIFS(H$19:H33,F14)</f>
        <v>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39"/>
      <c r="V14" s="14"/>
    </row>
    <row r="15" spans="2:23" s="4" customFormat="1" ht="17.25" customHeight="1">
      <c r="B15" s="45" t="s">
        <v>13</v>
      </c>
      <c r="C15" s="26">
        <f>SUM(C11:C14)</f>
        <v>2</v>
      </c>
      <c r="D15" s="19"/>
      <c r="E15" s="14"/>
      <c r="F15" s="27"/>
      <c r="G15" s="28">
        <f>SUM(G10:G14)</f>
        <v>2</v>
      </c>
      <c r="H15" s="26">
        <f>SUM(H10:H14)</f>
        <v>2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39"/>
      <c r="V15" s="14"/>
    </row>
    <row r="16" spans="2:23">
      <c r="B16" s="29"/>
      <c r="C16" s="30"/>
      <c r="D16" s="30"/>
      <c r="E16" s="29"/>
      <c r="F16" s="29"/>
      <c r="G16" s="30"/>
      <c r="H16" s="30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"/>
      <c r="V16" s="29"/>
    </row>
    <row r="17" spans="2:22">
      <c r="B17" s="29"/>
      <c r="C17" s="30"/>
      <c r="D17" s="30"/>
      <c r="E17" s="29"/>
      <c r="F17" s="29"/>
      <c r="G17" s="30"/>
      <c r="H17" s="3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3"/>
      <c r="V17" s="29"/>
    </row>
    <row r="18" spans="2:22" ht="48" customHeight="1">
      <c r="B18" s="31" t="s">
        <v>14</v>
      </c>
      <c r="C18" s="31" t="s">
        <v>15</v>
      </c>
      <c r="D18" s="31" t="s">
        <v>16</v>
      </c>
      <c r="E18" s="31" t="s">
        <v>17</v>
      </c>
      <c r="F18" s="31" t="s">
        <v>3</v>
      </c>
      <c r="G18" s="31" t="s">
        <v>18</v>
      </c>
      <c r="H18" s="31" t="s">
        <v>19</v>
      </c>
      <c r="I18" s="31" t="s">
        <v>20</v>
      </c>
      <c r="J18" s="31" t="s">
        <v>21</v>
      </c>
      <c r="K18" s="31" t="s">
        <v>22</v>
      </c>
      <c r="L18" s="31" t="s">
        <v>23</v>
      </c>
      <c r="M18" s="31" t="s">
        <v>24</v>
      </c>
      <c r="N18" s="31" t="s">
        <v>25</v>
      </c>
      <c r="O18" s="31" t="s">
        <v>26</v>
      </c>
      <c r="P18" s="31" t="s">
        <v>27</v>
      </c>
      <c r="Q18" s="31" t="s">
        <v>28</v>
      </c>
      <c r="R18" s="31" t="s">
        <v>29</v>
      </c>
      <c r="S18" s="31" t="s">
        <v>30</v>
      </c>
      <c r="T18" s="31" t="s">
        <v>31</v>
      </c>
      <c r="U18" s="40" t="s">
        <v>32</v>
      </c>
      <c r="V18" s="31" t="s">
        <v>33</v>
      </c>
    </row>
    <row r="19" spans="2:22" ht="115.2" customHeight="1">
      <c r="B19" s="32">
        <v>1</v>
      </c>
      <c r="C19" s="33">
        <v>46089</v>
      </c>
      <c r="D19" s="33">
        <v>46089</v>
      </c>
      <c r="E19" s="34">
        <v>101</v>
      </c>
      <c r="F19" s="33" t="s">
        <v>8</v>
      </c>
      <c r="G19" s="33" t="s">
        <v>7</v>
      </c>
      <c r="H19" s="33" t="s">
        <v>5</v>
      </c>
      <c r="I19" s="37" t="s">
        <v>34</v>
      </c>
      <c r="J19" s="37" t="s">
        <v>35</v>
      </c>
      <c r="K19" s="37">
        <v>1</v>
      </c>
      <c r="L19" s="37">
        <v>1</v>
      </c>
      <c r="M19" s="37"/>
      <c r="N19" s="37" t="s">
        <v>98</v>
      </c>
      <c r="O19" s="38" t="s">
        <v>36</v>
      </c>
      <c r="P19" s="38"/>
      <c r="Q19" s="38" t="s">
        <v>37</v>
      </c>
      <c r="R19" s="38" t="s">
        <v>38</v>
      </c>
      <c r="S19" s="37" t="s">
        <v>39</v>
      </c>
      <c r="T19" s="37"/>
      <c r="U19" s="41"/>
      <c r="V19" s="37" t="s">
        <v>99</v>
      </c>
    </row>
    <row r="20" spans="2:22" ht="65.400000000000006" customHeight="1">
      <c r="B20" s="32">
        <v>2</v>
      </c>
      <c r="C20" s="33">
        <v>46089</v>
      </c>
      <c r="D20" s="33">
        <v>46089</v>
      </c>
      <c r="E20" s="34">
        <v>102</v>
      </c>
      <c r="F20" s="33" t="s">
        <v>8</v>
      </c>
      <c r="G20" s="46" t="s">
        <v>7</v>
      </c>
      <c r="H20" s="46" t="s">
        <v>9</v>
      </c>
      <c r="I20" s="37" t="s">
        <v>40</v>
      </c>
      <c r="J20" s="37" t="s">
        <v>41</v>
      </c>
      <c r="K20" s="37">
        <v>1</v>
      </c>
      <c r="L20" s="37">
        <v>1</v>
      </c>
      <c r="M20" s="37"/>
      <c r="N20" s="37" t="s">
        <v>98</v>
      </c>
      <c r="O20" s="38" t="s">
        <v>42</v>
      </c>
      <c r="P20" s="38"/>
      <c r="Q20" s="38" t="s">
        <v>43</v>
      </c>
      <c r="R20" s="38" t="s">
        <v>44</v>
      </c>
      <c r="S20" s="37" t="s">
        <v>39</v>
      </c>
      <c r="T20" s="37"/>
      <c r="U20" s="41"/>
      <c r="V20" s="37" t="s">
        <v>99</v>
      </c>
    </row>
    <row r="21" spans="2:22" ht="89.4" hidden="1" customHeight="1">
      <c r="B21" s="32"/>
      <c r="C21" s="33"/>
      <c r="D21" s="33"/>
      <c r="E21" s="34"/>
      <c r="F21" s="33"/>
      <c r="G21" s="33"/>
      <c r="H21" s="33"/>
      <c r="I21" s="37"/>
      <c r="J21" s="37"/>
      <c r="K21" s="37"/>
      <c r="L21" s="37"/>
      <c r="M21" s="37"/>
      <c r="N21" s="37"/>
      <c r="O21" s="38"/>
      <c r="P21" s="38"/>
      <c r="Q21" s="38"/>
      <c r="R21" s="38"/>
      <c r="S21" s="37"/>
      <c r="T21" s="37"/>
      <c r="U21" s="41"/>
      <c r="V21" s="37" t="s">
        <v>45</v>
      </c>
    </row>
    <row r="22" spans="2:22" ht="57.75" hidden="1" customHeight="1">
      <c r="B22" s="32"/>
      <c r="C22" s="33"/>
      <c r="D22" s="33"/>
      <c r="E22" s="34"/>
      <c r="F22" s="33"/>
      <c r="G22" s="33"/>
      <c r="H22" s="33"/>
      <c r="I22" s="37"/>
      <c r="J22" s="37"/>
      <c r="K22" s="37"/>
      <c r="L22" s="37"/>
      <c r="M22" s="37"/>
      <c r="N22" s="37"/>
      <c r="O22" s="38"/>
      <c r="P22" s="38"/>
      <c r="Q22" s="38"/>
      <c r="R22" s="38"/>
      <c r="S22" s="37"/>
      <c r="T22" s="37"/>
      <c r="U22" s="41"/>
      <c r="V22" s="37" t="s">
        <v>45</v>
      </c>
    </row>
    <row r="23" spans="2:22" ht="59.4" hidden="1" customHeight="1">
      <c r="B23" s="32"/>
      <c r="C23" s="33"/>
      <c r="D23" s="33"/>
      <c r="E23" s="34"/>
      <c r="F23" s="33"/>
      <c r="G23" s="33"/>
      <c r="H23" s="33"/>
      <c r="I23" s="37"/>
      <c r="J23" s="37"/>
      <c r="K23" s="37"/>
      <c r="L23" s="37"/>
      <c r="M23" s="37"/>
      <c r="N23" s="38"/>
      <c r="O23" s="37"/>
      <c r="P23" s="37"/>
      <c r="Q23" s="37"/>
      <c r="R23" s="37"/>
      <c r="S23" s="41"/>
      <c r="T23" s="37"/>
      <c r="U23" s="41"/>
      <c r="V23" s="33" t="s">
        <v>46</v>
      </c>
    </row>
    <row r="24" spans="2:22" ht="97.2" hidden="1" customHeight="1">
      <c r="B24" s="32"/>
      <c r="C24" s="33"/>
      <c r="D24" s="33"/>
      <c r="E24" s="34"/>
      <c r="F24" s="33"/>
      <c r="G24" s="33"/>
      <c r="H24" s="33"/>
      <c r="I24" s="37"/>
      <c r="J24" s="37"/>
      <c r="K24" s="37"/>
      <c r="L24" s="37"/>
      <c r="M24" s="37"/>
      <c r="N24" s="37"/>
      <c r="O24" s="38"/>
      <c r="P24" s="38"/>
      <c r="Q24" s="38"/>
      <c r="R24" s="38"/>
      <c r="S24" s="37"/>
      <c r="T24" s="37"/>
      <c r="U24" s="42"/>
      <c r="V24" s="37"/>
    </row>
    <row r="25" spans="2:22" ht="66" hidden="1" customHeight="1">
      <c r="B25" s="32"/>
      <c r="C25" s="33"/>
      <c r="D25" s="33"/>
      <c r="E25" s="34"/>
      <c r="F25" s="33"/>
      <c r="G25" s="33"/>
      <c r="H25" s="33"/>
      <c r="I25" s="37"/>
      <c r="J25" s="37"/>
      <c r="K25" s="37"/>
      <c r="L25" s="37"/>
      <c r="M25" s="37"/>
      <c r="N25" s="37"/>
      <c r="O25" s="38"/>
      <c r="P25" s="38"/>
      <c r="Q25" s="38"/>
      <c r="R25" s="38"/>
      <c r="S25" s="37"/>
      <c r="T25" s="37"/>
      <c r="U25" s="41"/>
      <c r="V25" s="37"/>
    </row>
    <row r="26" spans="2:22" ht="67.8" hidden="1" customHeight="1">
      <c r="B26" s="32"/>
      <c r="C26" s="33"/>
      <c r="D26" s="33"/>
      <c r="E26" s="34"/>
      <c r="F26" s="33"/>
      <c r="G26" s="33"/>
      <c r="H26" s="33"/>
      <c r="I26" s="37"/>
      <c r="J26" s="37"/>
      <c r="K26" s="37"/>
      <c r="L26" s="37"/>
      <c r="M26" s="37"/>
      <c r="N26" s="37"/>
      <c r="O26" s="38"/>
      <c r="P26" s="38"/>
      <c r="Q26" s="38"/>
      <c r="R26" s="38"/>
      <c r="S26" s="37"/>
      <c r="T26" s="37"/>
      <c r="U26" s="41"/>
      <c r="V26" s="37"/>
    </row>
    <row r="27" spans="2:22" ht="25.5" hidden="1" customHeight="1">
      <c r="B27" s="32"/>
      <c r="C27" s="33"/>
      <c r="D27" s="33"/>
      <c r="E27" s="34"/>
      <c r="F27" s="33"/>
      <c r="G27" s="33"/>
      <c r="H27" s="33"/>
      <c r="I27" s="38"/>
      <c r="J27" s="38"/>
      <c r="K27" s="38"/>
      <c r="L27" s="38"/>
      <c r="M27" s="38"/>
      <c r="N27" s="37"/>
      <c r="O27" s="38"/>
      <c r="P27" s="38"/>
      <c r="Q27" s="38"/>
      <c r="R27" s="38"/>
      <c r="S27" s="37"/>
      <c r="T27" s="37"/>
      <c r="U27" s="41"/>
      <c r="V27" s="37"/>
    </row>
    <row r="28" spans="2:22" ht="25.5" hidden="1" customHeight="1">
      <c r="B28" s="32"/>
      <c r="C28" s="33"/>
      <c r="D28" s="33"/>
      <c r="E28" s="34"/>
      <c r="F28" s="33"/>
      <c r="G28" s="33"/>
      <c r="H28" s="33"/>
      <c r="I28" s="37"/>
      <c r="J28" s="37"/>
      <c r="K28" s="37"/>
      <c r="L28" s="37"/>
      <c r="M28" s="37"/>
      <c r="N28" s="37"/>
      <c r="O28" s="38"/>
      <c r="P28" s="38"/>
      <c r="Q28" s="38"/>
      <c r="R28" s="38"/>
      <c r="S28" s="37"/>
      <c r="T28" s="37"/>
      <c r="U28" s="41"/>
      <c r="V28" s="37"/>
    </row>
    <row r="29" spans="2:22" ht="25.5" hidden="1" customHeight="1">
      <c r="B29" s="32"/>
      <c r="C29" s="33"/>
      <c r="D29" s="33"/>
      <c r="E29" s="34"/>
      <c r="F29" s="33"/>
      <c r="G29" s="33"/>
      <c r="H29" s="33"/>
      <c r="I29" s="37"/>
      <c r="J29" s="37"/>
      <c r="K29" s="37"/>
      <c r="L29" s="37"/>
      <c r="M29" s="37"/>
      <c r="N29" s="37"/>
      <c r="O29" s="38"/>
      <c r="P29" s="38"/>
      <c r="Q29" s="38"/>
      <c r="R29" s="38"/>
      <c r="S29" s="37"/>
      <c r="T29" s="37"/>
      <c r="U29" s="41"/>
      <c r="V29" s="37"/>
    </row>
    <row r="30" spans="2:22" ht="25.5" hidden="1" customHeight="1">
      <c r="B30" s="32"/>
      <c r="C30" s="33"/>
      <c r="D30" s="33"/>
      <c r="E30" s="34"/>
      <c r="F30" s="33"/>
      <c r="G30" s="33"/>
      <c r="H30" s="33"/>
      <c r="I30" s="37"/>
      <c r="J30" s="37"/>
      <c r="K30" s="37"/>
      <c r="L30" s="37"/>
      <c r="M30" s="37"/>
      <c r="N30" s="37"/>
      <c r="O30" s="38"/>
      <c r="P30" s="38"/>
      <c r="Q30" s="38"/>
      <c r="R30" s="38"/>
      <c r="S30" s="37"/>
      <c r="T30" s="37"/>
      <c r="U30" s="43"/>
      <c r="V30" s="37"/>
    </row>
    <row r="31" spans="2:22" ht="25.5" hidden="1" customHeight="1">
      <c r="B31" s="32"/>
      <c r="C31" s="33"/>
      <c r="D31" s="33"/>
      <c r="E31" s="34"/>
      <c r="F31" s="33"/>
      <c r="G31" s="33"/>
      <c r="H31" s="33"/>
      <c r="I31" s="37"/>
      <c r="J31" s="37"/>
      <c r="K31" s="37"/>
      <c r="L31" s="37"/>
      <c r="M31" s="37"/>
      <c r="N31" s="37"/>
      <c r="O31" s="38"/>
      <c r="P31" s="38"/>
      <c r="Q31" s="38"/>
      <c r="R31" s="38"/>
      <c r="S31" s="37"/>
      <c r="T31" s="37"/>
      <c r="U31" s="41"/>
      <c r="V31" s="37"/>
    </row>
    <row r="32" spans="2:22" ht="25.5" hidden="1" customHeight="1">
      <c r="B32" s="32"/>
      <c r="C32" s="33"/>
      <c r="D32" s="33"/>
      <c r="E32" s="34"/>
      <c r="F32" s="33"/>
      <c r="G32" s="33"/>
      <c r="H32" s="33"/>
      <c r="I32" s="37"/>
      <c r="J32" s="37"/>
      <c r="K32" s="37"/>
      <c r="L32" s="37"/>
      <c r="M32" s="37"/>
      <c r="N32" s="37"/>
      <c r="O32" s="38"/>
      <c r="P32" s="38"/>
      <c r="Q32" s="38"/>
      <c r="R32" s="38"/>
      <c r="S32" s="37"/>
      <c r="T32" s="37"/>
      <c r="U32" s="41"/>
      <c r="V32" s="37"/>
    </row>
    <row r="33" spans="2:22" ht="25.5" hidden="1" customHeight="1">
      <c r="B33" s="32"/>
      <c r="C33" s="33"/>
      <c r="D33" s="33"/>
      <c r="E33" s="34"/>
      <c r="F33" s="33"/>
      <c r="G33" s="33"/>
      <c r="H33" s="33"/>
      <c r="I33" s="37"/>
      <c r="J33" s="37"/>
      <c r="K33" s="37"/>
      <c r="L33" s="37"/>
      <c r="M33" s="37"/>
      <c r="N33" s="37"/>
      <c r="O33" s="38"/>
      <c r="P33" s="38"/>
      <c r="Q33" s="38"/>
      <c r="R33" s="38"/>
      <c r="S33" s="37"/>
      <c r="T33" s="37"/>
      <c r="U33" s="37"/>
      <c r="V33" s="37"/>
    </row>
    <row r="34" spans="2:22" ht="21.75" customHeight="1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2:22" ht="21.75" customHeight="1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spans="2:22" ht="21.75" customHeight="1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spans="2:22" ht="21.75" customHeight="1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spans="2:22" ht="21.75" customHeight="1"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spans="2:22" ht="21.75" customHeight="1"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spans="2:22" ht="21.75" customHeight="1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spans="2:22" ht="21.75" customHeight="1"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spans="2:22" ht="21.75" customHeight="1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2:22" ht="21.75" customHeight="1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2:22" ht="21.75" customHeight="1"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2:22" ht="21.75" customHeight="1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2:22" ht="21.75" customHeight="1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spans="2:22" ht="21.75" customHeight="1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spans="2:22" ht="21.75" customHeight="1"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spans="2:22" ht="21.75" customHeight="1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2:22" ht="21.75" customHeight="1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2:22" ht="21.75" customHeight="1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2:22" ht="21.75" customHeight="1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spans="2:22" ht="21.75" customHeight="1"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spans="2:22" ht="21.75" customHeight="1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spans="2:22" ht="21.75" customHeight="1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spans="2:22" ht="21.75" customHeight="1"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spans="2:22" ht="21.75" customHeight="1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spans="2:22" ht="21.75" customHeight="1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spans="2:22" ht="21.75" customHeight="1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spans="2:22" ht="21.75" customHeight="1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spans="2:22" ht="21.75" customHeight="1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spans="2:22" ht="21.75" customHeight="1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spans="2:22" ht="21.75" customHeight="1"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spans="2:22" ht="21.75" customHeight="1"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spans="2:22" ht="21.75" customHeight="1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spans="2:22" ht="21.75" customHeight="1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spans="2:22" ht="21.75" customHeight="1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spans="2:22" ht="21.75" customHeight="1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spans="2:22" ht="21.75" customHeight="1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spans="2:22" ht="21.75" customHeight="1"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spans="2:22" ht="21.75" customHeight="1"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spans="2:22" ht="21.75" customHeight="1"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spans="2:22" ht="21.75" customHeight="1"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spans="2:22" ht="21.75" customHeight="1"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spans="2:22" ht="21.75" customHeight="1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spans="2:22" ht="21.75" customHeight="1"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spans="2:22" ht="21.75" customHeigh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spans="2:22" ht="21.75" customHeight="1"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spans="2:22" ht="21.75" customHeight="1"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spans="2:22" ht="21.75" customHeight="1"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spans="2:22" ht="21.75" customHeight="1"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spans="2:22" ht="21.75" customHeight="1"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spans="2:22" ht="21.75" customHeight="1"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spans="2:22" ht="21.75" customHeight="1"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spans="2:22" ht="21.75" customHeight="1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spans="2:22" ht="21.75" customHeight="1"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spans="2:22" ht="21.75" customHeight="1"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spans="2:22" ht="21.75" customHeight="1"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spans="2:22" ht="21.75" customHeight="1"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spans="2:22" ht="21.75" customHeight="1"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spans="2:22" ht="21.75" customHeight="1"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spans="2:22" ht="21.75" customHeight="1"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spans="2:22" ht="21.75" customHeight="1"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spans="2:22" ht="21.75" customHeight="1"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spans="2:22" ht="21.75" customHeight="1"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spans="2:22" ht="21.75" customHeight="1"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spans="2:22" ht="21.75" customHeight="1"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spans="2:22" ht="21.75" customHeight="1"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spans="2:22" ht="21.75" customHeight="1"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spans="2:22" ht="21.75" customHeight="1"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spans="2:22" ht="21.75" customHeight="1"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</sheetData>
  <autoFilter ref="B18:V33" xr:uid="{00000000-0009-0000-0000-000000000000}">
    <filterColumn colId="6">
      <customFilters>
        <customFilter operator="notEqual" val=""/>
      </customFilters>
    </filterColumn>
  </autoFilter>
  <conditionalFormatting sqref="G19:H101">
    <cfRule type="cellIs" dxfId="3" priority="1" operator="equal">
      <formula>$F$14</formula>
    </cfRule>
    <cfRule type="cellIs" dxfId="2" priority="2" operator="equal">
      <formula>$F$12</formula>
    </cfRule>
    <cfRule type="cellIs" dxfId="1" priority="3" operator="equal">
      <formula>$F$11</formula>
    </cfRule>
    <cfRule type="cellIs" dxfId="0" priority="4" operator="equal">
      <formula>$F$10</formula>
    </cfRule>
  </conditionalFormatting>
  <dataValidations count="1">
    <dataValidation type="list" allowBlank="1" showInputMessage="1" showErrorMessage="1" sqref="F19:H33" xr:uid="{00000000-0002-0000-0000-000000000000}">
      <formula1>#REF!</formula1>
    </dataValidation>
  </dataValidations>
  <pageMargins left="0.70866141732283505" right="0.70866141732283505" top="0.15748031496063" bottom="0.15748031496063" header="0.31496062992126" footer="0.31496062992126"/>
  <pageSetup paperSize="9" scale="45" orientation="landscape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I6" sqref="I6"/>
    </sheetView>
  </sheetViews>
  <sheetFormatPr defaultColWidth="8.77734375" defaultRowHeight="14.4"/>
  <cols>
    <col min="2" max="2" width="36.109375" customWidth="1"/>
    <col min="3" max="3" width="31.109375" customWidth="1"/>
    <col min="4" max="4" width="44.5546875" customWidth="1"/>
  </cols>
  <sheetData>
    <row r="1" spans="1:4" ht="28.8">
      <c r="A1" s="1" t="s">
        <v>47</v>
      </c>
      <c r="B1" s="1" t="s">
        <v>48</v>
      </c>
      <c r="C1" s="1" t="s">
        <v>49</v>
      </c>
      <c r="D1" s="1" t="s">
        <v>28</v>
      </c>
    </row>
    <row r="2" spans="1:4" ht="28.8">
      <c r="A2" s="35" t="s">
        <v>50</v>
      </c>
      <c r="B2" s="35" t="s">
        <v>63</v>
      </c>
      <c r="C2" s="41" t="s">
        <v>64</v>
      </c>
      <c r="D2" s="35" t="s">
        <v>65</v>
      </c>
    </row>
    <row r="3" spans="1:4" ht="28.8">
      <c r="A3" s="35" t="s">
        <v>54</v>
      </c>
      <c r="B3" s="35" t="s">
        <v>67</v>
      </c>
      <c r="C3" s="41" t="s">
        <v>52</v>
      </c>
      <c r="D3" s="47" t="s">
        <v>53</v>
      </c>
    </row>
    <row r="4" spans="1:4" ht="28.8">
      <c r="A4" s="35" t="s">
        <v>58</v>
      </c>
      <c r="B4" s="35" t="s">
        <v>69</v>
      </c>
      <c r="C4" s="41" t="s">
        <v>70</v>
      </c>
      <c r="D4" s="35" t="s">
        <v>71</v>
      </c>
    </row>
    <row r="5" spans="1:4" ht="28.8">
      <c r="A5" s="35" t="s">
        <v>62</v>
      </c>
      <c r="B5" s="35" t="s">
        <v>73</v>
      </c>
      <c r="C5" s="41" t="s">
        <v>74</v>
      </c>
      <c r="D5" s="35" t="s">
        <v>75</v>
      </c>
    </row>
    <row r="6" spans="1:4" ht="28.8">
      <c r="A6" s="35" t="s">
        <v>66</v>
      </c>
      <c r="B6" s="35" t="s">
        <v>77</v>
      </c>
      <c r="C6" s="41" t="s">
        <v>78</v>
      </c>
      <c r="D6" s="35" t="s">
        <v>79</v>
      </c>
    </row>
    <row r="7" spans="1:4" ht="28.8">
      <c r="A7" s="35" t="s">
        <v>68</v>
      </c>
      <c r="B7" s="47" t="s">
        <v>51</v>
      </c>
      <c r="C7" s="41" t="s">
        <v>52</v>
      </c>
      <c r="D7" s="47" t="s">
        <v>53</v>
      </c>
    </row>
    <row r="8" spans="1:4" ht="28.8">
      <c r="A8" s="35" t="s">
        <v>72</v>
      </c>
      <c r="B8" s="35" t="s">
        <v>55</v>
      </c>
      <c r="C8" s="41" t="s">
        <v>56</v>
      </c>
      <c r="D8" s="35" t="s">
        <v>57</v>
      </c>
    </row>
    <row r="9" spans="1:4" ht="28.8">
      <c r="A9" s="35" t="s">
        <v>76</v>
      </c>
      <c r="B9" s="35" t="s">
        <v>59</v>
      </c>
      <c r="C9" s="41" t="s">
        <v>60</v>
      </c>
      <c r="D9" s="35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D11" sqref="D11"/>
    </sheetView>
  </sheetViews>
  <sheetFormatPr defaultColWidth="8.77734375" defaultRowHeight="14.4"/>
  <cols>
    <col min="2" max="2" width="18.21875" customWidth="1"/>
    <col min="3" max="3" width="21.88671875" customWidth="1"/>
  </cols>
  <sheetData>
    <row r="1" spans="1:4">
      <c r="A1" s="49" t="s">
        <v>80</v>
      </c>
      <c r="B1" s="49" t="s">
        <v>81</v>
      </c>
      <c r="C1" s="49" t="s">
        <v>82</v>
      </c>
      <c r="D1" s="49" t="s">
        <v>83</v>
      </c>
    </row>
    <row r="2" spans="1:4">
      <c r="A2" s="35" t="s">
        <v>50</v>
      </c>
      <c r="B2" s="35" t="s">
        <v>84</v>
      </c>
      <c r="C2" s="35" t="s">
        <v>84</v>
      </c>
      <c r="D2" s="48">
        <v>0.2</v>
      </c>
    </row>
    <row r="3" spans="1:4">
      <c r="A3" s="35" t="s">
        <v>54</v>
      </c>
      <c r="B3" s="35" t="s">
        <v>84</v>
      </c>
      <c r="C3" s="35" t="s">
        <v>85</v>
      </c>
      <c r="D3" s="48">
        <v>0.1</v>
      </c>
    </row>
    <row r="4" spans="1:4">
      <c r="A4" s="35" t="s">
        <v>58</v>
      </c>
      <c r="B4" s="35" t="s">
        <v>86</v>
      </c>
      <c r="C4" s="35" t="s">
        <v>85</v>
      </c>
      <c r="D4" s="48">
        <v>0</v>
      </c>
    </row>
    <row r="5" spans="1:4">
      <c r="A5" s="35" t="s">
        <v>62</v>
      </c>
      <c r="B5" s="35" t="s">
        <v>86</v>
      </c>
      <c r="C5" s="35" t="s">
        <v>87</v>
      </c>
      <c r="D5" s="4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E11" sqref="E11"/>
    </sheetView>
  </sheetViews>
  <sheetFormatPr defaultColWidth="8.77734375" defaultRowHeight="14.4"/>
  <cols>
    <col min="3" max="3" width="14.109375" customWidth="1"/>
  </cols>
  <sheetData>
    <row r="1" spans="1:7" ht="43.2">
      <c r="A1" s="50" t="s">
        <v>47</v>
      </c>
      <c r="B1" s="50" t="s">
        <v>88</v>
      </c>
      <c r="C1" s="50" t="s">
        <v>89</v>
      </c>
      <c r="D1" s="50" t="s">
        <v>90</v>
      </c>
      <c r="E1" s="50" t="s">
        <v>91</v>
      </c>
      <c r="F1" s="2" t="s">
        <v>29</v>
      </c>
      <c r="G1" s="2" t="s">
        <v>3</v>
      </c>
    </row>
    <row r="2" spans="1:7">
      <c r="A2" s="47" t="s">
        <v>50</v>
      </c>
      <c r="B2" s="47">
        <v>550</v>
      </c>
      <c r="C2" s="47" t="s">
        <v>92</v>
      </c>
      <c r="D2" s="47" t="s">
        <v>93</v>
      </c>
      <c r="E2" s="51">
        <v>0.2</v>
      </c>
      <c r="F2" s="47" t="s">
        <v>94</v>
      </c>
      <c r="G2" s="47" t="b">
        <v>1</v>
      </c>
    </row>
    <row r="3" spans="1:7">
      <c r="A3" s="47" t="s">
        <v>54</v>
      </c>
      <c r="B3" s="47">
        <v>520</v>
      </c>
      <c r="C3" s="47" t="s">
        <v>95</v>
      </c>
      <c r="D3" s="47" t="s">
        <v>93</v>
      </c>
      <c r="E3" s="51">
        <v>0.1</v>
      </c>
      <c r="F3" s="47" t="s">
        <v>94</v>
      </c>
      <c r="G3" s="47" t="b">
        <v>1</v>
      </c>
    </row>
    <row r="4" spans="1:7">
      <c r="A4" s="47" t="s">
        <v>58</v>
      </c>
      <c r="B4" s="47">
        <v>480</v>
      </c>
      <c r="C4" s="47" t="s">
        <v>92</v>
      </c>
      <c r="D4" s="47" t="s">
        <v>96</v>
      </c>
      <c r="E4" s="51">
        <v>0</v>
      </c>
      <c r="F4" s="47" t="s">
        <v>94</v>
      </c>
      <c r="G4" s="47" t="b">
        <v>1</v>
      </c>
    </row>
    <row r="5" spans="1:7">
      <c r="A5" s="47" t="s">
        <v>62</v>
      </c>
      <c r="B5" s="47">
        <v>0</v>
      </c>
      <c r="C5" s="47" t="s">
        <v>97</v>
      </c>
      <c r="D5" s="47" t="s">
        <v>96</v>
      </c>
      <c r="E5" s="51">
        <v>0</v>
      </c>
      <c r="F5" s="47" t="s">
        <v>94</v>
      </c>
      <c r="G5" s="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DefectTracker</vt:lpstr>
      <vt:lpstr>Black box techniques</vt:lpstr>
      <vt:lpstr>Decision Table</vt:lpstr>
      <vt:lpstr>White box Techniques</vt:lpstr>
      <vt:lpstr>DefectTracker!Print_Titles</vt:lpstr>
    </vt:vector>
  </TitlesOfParts>
  <Manager>stakeholdermap.com</Manager>
  <Company>stakeholdermap.com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Defect Tracker</dc:title>
  <dc:subject>Defect and Issue tracking</dc:subject>
  <dc:creator>Priyanka Arora</dc:creator>
  <cp:lastModifiedBy>Malar R</cp:lastModifiedBy>
  <cp:lastPrinted>2014-06-28T09:25:00Z</cp:lastPrinted>
  <dcterms:created xsi:type="dcterms:W3CDTF">2014-06-28T09:07:00Z</dcterms:created>
  <dcterms:modified xsi:type="dcterms:W3CDTF">2026-04-04T12:04:50Z</dcterms:modified>
  <cp:category>Project Management Templates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09C439C0BD544EA8AD0AC4923BB04A7A_12</vt:lpwstr>
  </property>
  <property fmtid="{D5CDD505-2E9C-101B-9397-08002B2CF9AE}" pid="3" name="KSOProductBuildVer">
    <vt:lpwstr>1033-12.2.0.23196</vt:lpwstr>
  </property>
</Properties>
</file>